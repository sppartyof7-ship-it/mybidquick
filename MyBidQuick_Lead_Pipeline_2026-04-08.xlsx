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Pipeline" sheetId="1" state="visible" r:id="rId3"/>
  </sheets>
  <definedNames>
    <definedName function="false" hidden="true" localSheetId="0" name="_xlnm._FilterDatabase" vbProcedure="false">'Lead Pipeline'!$A$4:$K$12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<sst xmlns="http://schemas.openxmlformats.org/spreadsheetml/2006/main" count="81" uniqueCount="53">
  <si>
    <t xml:space="preserve">MyBidQuick — Lead Pipeline</t>
  </si>
  <si>
    <t xml:space="preserve">Auto-synced from Supabase</t>
  </si>
  <si>
    <t xml:space="preserve">Last sync:</t>
  </si>
  <si>
    <t xml:space="preserve">2026-04-08</t>
  </si>
  <si>
    <t xml:space="preserve">Lead #</t>
  </si>
  <si>
    <t xml:space="preserve">Date</t>
  </si>
  <si>
    <t xml:space="preserve">Name</t>
  </si>
  <si>
    <t xml:space="preserve">Email</t>
  </si>
  <si>
    <t xml:space="preserve">Phone</t>
  </si>
  <si>
    <t xml:space="preserve">Tenant</t>
  </si>
  <si>
    <t xml:space="preserve">Service Requested</t>
  </si>
  <si>
    <t xml:space="preserve">Quote $</t>
  </si>
  <si>
    <t xml:space="preserve">Status</t>
  </si>
  <si>
    <t xml:space="preserve">Last Contact</t>
  </si>
  <si>
    <t xml:space="preserve">Notes</t>
  </si>
  <si>
    <t xml:space="preserve">Tim Sullivan</t>
  </si>
  <si>
    <t xml:space="preserve">s.p.partyof7@gmail.com</t>
  </si>
  <si>
    <t xml:space="preserve">9207236822</t>
  </si>
  <si>
    <t xml:space="preserve">Cloute Exterior Cleaning</t>
  </si>
  <si>
    <t xml:space="preserve">Pressure Washing + Window Cleaning</t>
  </si>
  <si>
    <t xml:space="preserve">New Lead</t>
  </si>
  <si>
    <t xml:space="preserve">test</t>
  </si>
  <si>
    <t xml:space="preserve">2026-04-07</t>
  </si>
  <si>
    <t xml:space="preserve">Test User</t>
  </si>
  <si>
    <t xml:space="preserve">test@test.com</t>
  </si>
  <si>
    <t xml:space="preserve">5551234567</t>
  </si>
  <si>
    <t xml:space="preserve">2026-04-06</t>
  </si>
  <si>
    <t xml:space="preserve">test rls</t>
  </si>
  <si>
    <t xml:space="preserve">testrls@example.com</t>
  </si>
  <si>
    <t xml:space="preserve">6085550199</t>
  </si>
  <si>
    <t xml:space="preserve">Pressure Washing</t>
  </si>
  <si>
    <t xml:space="preserve">Won</t>
  </si>
  <si>
    <t xml:space="preserve">2026-04-03</t>
  </si>
  <si>
    <t xml:space="preserve">Eliott D Cloute</t>
  </si>
  <si>
    <t xml:space="preserve">eli.cloute@clouteinc.com</t>
  </si>
  <si>
    <t xml:space="preserve">9207231939</t>
  </si>
  <si>
    <t xml:space="preserve">Window Cleaning</t>
  </si>
  <si>
    <t xml:space="preserve">Pressure Washing + Window Cleaning + Gutter Cleaning</t>
  </si>
  <si>
    <t xml:space="preserve">we are the champions</t>
  </si>
  <si>
    <t xml:space="preserve">tim.sullivan@clouteinc.com</t>
  </si>
  <si>
    <t xml:space="preserve">9205634101</t>
  </si>
  <si>
    <t xml:space="preserve">testy test for claude</t>
  </si>
  <si>
    <t xml:space="preserve">Noah Baldry</t>
  </si>
  <si>
    <t xml:space="preserve">noahbaldry34@gmail.com</t>
  </si>
  <si>
    <t xml:space="preserve">9203972318</t>
  </si>
  <si>
    <t xml:space="preserve">Test with Eli</t>
  </si>
  <si>
    <t xml:space="preserve">Test Lead - Eli Cloute</t>
  </si>
  <si>
    <t xml:space="preserve">Pipeline Summary</t>
  </si>
  <si>
    <t xml:space="preserve">New Leads:</t>
  </si>
  <si>
    <t xml:space="preserve">Won:</t>
  </si>
  <si>
    <t xml:space="preserve">Lost:</t>
  </si>
  <si>
    <t xml:space="preserve">Contacted:</t>
  </si>
  <si>
    <t xml:space="preserve">Total Pipeline Value: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</si>
</sst>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66CC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155724"/>
      <name val="Cambria"/>
      <family val="0"/>
      <charset val="1"/>
    </font>
    <font>
      <b val="true"/>
      <sz val="12"/>
      <color rgb="FF1A1A2E"/>
      <name val="Cambria"/>
      <family val="0"/>
      <charset val="1"/>
    </font>
    <font>
      <sz val="10"/>
      <color rgb="FF0000FF"/>
      <name val="Cambria"/>
      <family val="0"/>
      <charset val="1"/>
    </font>
    <font>
      <b val="true"/>
      <sz val="10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F3CD"/>
        <bgColor rgb="FFFFFFFF"/>
      </patternFill>
    </fill>
    <fill>
      <patternFill patternType="solid">
        <fgColor rgb="FFD4EDD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1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5572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55724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40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H2" s="3" t="s">
        <v>2</v>
      </c>
      <c r="I2" s="4" t="s">
        <v>3</v>
      </c>
    </row>
    <row r="4" customFormat="false" ht="15" hidden="false" customHeight="fals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</row>
    <row r="5" customFormat="false" ht="15" hidden="false" customHeight="false" outlineLevel="0" collapsed="false">
      <c r="A5" s="6" t="n">
        <v>1</v>
      </c>
      <c r="B5" s="6" t="s">
        <v>3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7" t="n">
        <v>969</v>
      </c>
      <c r="I5" s="8" t="s">
        <v>20</v>
      </c>
      <c r="J5" s="6"/>
      <c r="K5" s="6" t="s">
        <v>21</v>
      </c>
    </row>
    <row r="6" customFormat="false" ht="15" hidden="false" customHeight="false" outlineLevel="0" collapsed="false">
      <c r="A6" s="6" t="n">
        <v>2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18</v>
      </c>
      <c r="G6" s="6" t="s">
        <v>19</v>
      </c>
      <c r="H6" s="7" t="n">
        <v>673</v>
      </c>
      <c r="I6" s="8" t="s">
        <v>20</v>
      </c>
      <c r="J6" s="6"/>
      <c r="K6" s="6"/>
    </row>
    <row r="7" customFormat="false" ht="15" hidden="false" customHeight="false" outlineLevel="0" collapsed="false">
      <c r="A7" s="6" t="n">
        <v>3</v>
      </c>
      <c r="B7" s="6" t="s">
        <v>26</v>
      </c>
      <c r="C7" s="6" t="s">
        <v>27</v>
      </c>
      <c r="D7" s="6" t="s">
        <v>28</v>
      </c>
      <c r="E7" s="6" t="s">
        <v>29</v>
      </c>
      <c r="F7" s="6" t="s">
        <v>18</v>
      </c>
      <c r="G7" s="6" t="s">
        <v>30</v>
      </c>
      <c r="H7" s="7" t="n">
        <v>552</v>
      </c>
      <c r="I7" s="9" t="s">
        <v>31</v>
      </c>
      <c r="J7" s="6"/>
      <c r="K7" s="6"/>
    </row>
    <row r="8" customFormat="false" ht="15" hidden="false" customHeight="false" outlineLevel="0" collapsed="false">
      <c r="A8" s="6" t="n">
        <v>4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18</v>
      </c>
      <c r="G8" s="6" t="s">
        <v>36</v>
      </c>
      <c r="H8" s="7" t="n">
        <v>541</v>
      </c>
      <c r="I8" s="8" t="s">
        <v>20</v>
      </c>
      <c r="J8" s="6"/>
      <c r="K8" s="6"/>
    </row>
    <row r="9" customFormat="false" ht="15" hidden="false" customHeight="false" outlineLevel="0" collapsed="false">
      <c r="A9" s="6" t="n">
        <v>5</v>
      </c>
      <c r="B9" s="6" t="s">
        <v>32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37</v>
      </c>
      <c r="H9" s="7" t="n">
        <v>1189</v>
      </c>
      <c r="I9" s="8" t="s">
        <v>20</v>
      </c>
      <c r="J9" s="6"/>
      <c r="K9" s="6" t="s">
        <v>38</v>
      </c>
    </row>
    <row r="10" customFormat="false" ht="15" hidden="false" customHeight="false" outlineLevel="0" collapsed="false">
      <c r="A10" s="6" t="n">
        <v>6</v>
      </c>
      <c r="B10" s="6" t="s">
        <v>32</v>
      </c>
      <c r="C10" s="6" t="s">
        <v>15</v>
      </c>
      <c r="D10" s="6" t="s">
        <v>39</v>
      </c>
      <c r="E10" s="6" t="s">
        <v>40</v>
      </c>
      <c r="F10" s="6" t="s">
        <v>18</v>
      </c>
      <c r="G10" s="6" t="s">
        <v>19</v>
      </c>
      <c r="H10" s="7" t="n">
        <v>933.46</v>
      </c>
      <c r="I10" s="8" t="s">
        <v>20</v>
      </c>
      <c r="J10" s="6"/>
      <c r="K10" s="6" t="s">
        <v>41</v>
      </c>
    </row>
    <row r="11" customFormat="false" ht="15" hidden="false" customHeight="false" outlineLevel="0" collapsed="false">
      <c r="A11" s="6" t="n">
        <v>7</v>
      </c>
      <c r="B11" s="6" t="s">
        <v>32</v>
      </c>
      <c r="C11" s="6" t="s">
        <v>42</v>
      </c>
      <c r="D11" s="6" t="s">
        <v>43</v>
      </c>
      <c r="E11" s="6" t="s">
        <v>44</v>
      </c>
      <c r="F11" s="6" t="s">
        <v>18</v>
      </c>
      <c r="G11" s="6" t="s">
        <v>36</v>
      </c>
      <c r="H11" s="7" t="n">
        <v>1375</v>
      </c>
      <c r="I11" s="8" t="s">
        <v>20</v>
      </c>
      <c r="J11" s="6"/>
      <c r="K11" s="6" t="s">
        <v>45</v>
      </c>
    </row>
    <row r="12" customFormat="false" ht="15" hidden="false" customHeight="false" outlineLevel="0" collapsed="false">
      <c r="A12" s="6" t="n">
        <v>8</v>
      </c>
      <c r="B12" s="6" t="s">
        <v>32</v>
      </c>
      <c r="C12" s="6" t="s">
        <v>46</v>
      </c>
      <c r="D12" s="6" t="s">
        <v>34</v>
      </c>
      <c r="E12" s="6" t="s">
        <v>35</v>
      </c>
      <c r="F12" s="6" t="s">
        <v>18</v>
      </c>
      <c r="G12" s="6" t="s">
        <v>36</v>
      </c>
      <c r="H12" s="7" t="n">
        <v>120</v>
      </c>
      <c r="I12" s="8" t="s">
        <v>20</v>
      </c>
      <c r="J12" s="6"/>
      <c r="K12" s="6"/>
    </row>
    <row r="14" customFormat="false" ht="15" hidden="false" customHeight="false" outlineLevel="0" collapsed="false">
      <c r="A14" s="10" t="s">
        <v>47</v>
      </c>
    </row>
    <row r="15" customFormat="false" ht="15" hidden="false" customHeight="false" outlineLevel="0" collapsed="false">
      <c r="A15" s="3" t="s">
        <v>48</v>
      </c>
      <c r="B15" s="11" t="n">
        <f aca="false">COUNTIF(I5:I12,"New Lead")</f>
        <v>7</v>
      </c>
      <c r="C15" s="3" t="s">
        <v>49</v>
      </c>
      <c r="D15" s="11" t="n">
        <f aca="false">COUNTIF(I5:I12,"Won")</f>
        <v>1</v>
      </c>
      <c r="E15" s="3" t="s">
        <v>50</v>
      </c>
      <c r="F15" s="11" t="n">
        <f aca="false">COUNTIF(I5:I12,"Lost")</f>
        <v>0</v>
      </c>
      <c r="G15" s="3" t="s">
        <v>51</v>
      </c>
      <c r="H15" s="11" t="n">
        <f aca="false">COUNTIF(I5:I12,"Contacted")</f>
        <v>0</v>
      </c>
    </row>
    <row r="16" customFormat="false" ht="15" hidden="false" customHeight="false" outlineLevel="0" collapsed="false">
      <c r="A16" s="3" t="s">
        <v>52</v>
      </c>
      <c r="B16" s="12" t="n">
        <f aca="false">SUM(H5:H12)</f>
        <v>6352.46</v>
      </c>
    </row>
  </sheetData>
  <autoFilter ref="A4:K12"/>
  <mergeCells count="2">
    <mergeCell ref="A1:K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2026-04-09T02:48:23Z</dcterms:created>
  <dc:creator>openpyxl</dc:creator>
  <dc:description/>
  <dc:language>en-US</dc:language>
  <cp:lastModifiedBy/>
  <dcterms:modified xsi:type="dcterms:W3CDTF">2026-04-09T02:48:23Z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