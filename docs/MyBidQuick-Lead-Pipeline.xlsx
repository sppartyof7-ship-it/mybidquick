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definedNames>
    <definedName function="false" hidden="true" localSheetId="0" name="_xlnm._FilterDatabase" vbProcedure="false">'Lead Pipeline'!$A$4:$K$200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<sst xmlns="http://schemas.openxmlformats.org/spreadsheetml/2006/main" count="67" uniqueCount="53">
  <si>
    <t xml:space="preserve">MyBidQuick — Lead Pipeline Tracker</t>
  </si>
  <si>
    <t xml:space="preserve">4-Stage Pipeline: New Lead → Contacted → Won → Lost  |  Updated: 2026-03-28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</si>
  <si>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</si>
  <si>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</si>
  <si>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</si>
  <si>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</si>
  <si>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</si>
  <si>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</si>
  <si>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</si>
  <si>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</si>
  <si>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</si>
  <si>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</si>
  <si>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</si>
  <si>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2026-03-28</t>
  </si>
  <si>
    <t xml:space="preserve">John Smith</t>
  </si>
  <si>
    <t xml:space="preserve">john@example.com</t>
  </si>
  <si>
    <t xml:space="preserve">555-123-4567</t>
  </si>
  <si>
    <t xml:space="preserve">Cloute Cleaning</t>
  </si>
  <si>
    <t xml:space="preserve">House Washing</t>
  </si>
  <si>
    <t xml:space="preserve">New Lead</t>
  </si>
  <si>
    <t xml:space="preserve">Came through mybidquick engine</t>
  </si>
  <si>
    <t xml:space="preserve">Sarah Johnson</t>
  </si>
  <si>
    <t xml:space="preserve">sarah@example.com</t>
  </si>
  <si>
    <t xml:space="preserve">555-987-6543</t>
  </si>
  <si>
    <t xml:space="preserve">Window + Gutter Cleaning</t>
  </si>
  <si>
    <t xml:space="preserve">Contacted</t>
  </si>
  <si>
    <t xml:space="preserve">Called, left voicemail</t>
  </si>
  <si>
    <t xml:space="preserve">2026-03-27</t>
  </si>
  <si>
    <t xml:space="preserve">Mike Davis</t>
  </si>
  <si>
    <t xml:space="preserve">mike@example.com</t>
  </si>
  <si>
    <t xml:space="preserve">555-456-7890</t>
  </si>
  <si>
    <t xml:space="preserve">Cornerstone Exterior</t>
  </si>
  <si>
    <t xml:space="preserve">House Wash + Windows</t>
  </si>
  <si>
    <t xml:space="preserve">Won</t>
  </si>
  <si>
    <t xml:space="preserve">Scheduled for April 2</t>
  </si>
  <si>
    <t xml:space="preserve">2026-03-26</t>
  </si>
  <si>
    <t xml:space="preserve">Lisa Chen</t>
  </si>
  <si>
    <t xml:space="preserve">lisa@example.com</t>
  </si>
  <si>
    <t xml:space="preserve">555-321-0987</t>
  </si>
  <si>
    <t xml:space="preserve">Roof Cleaning</t>
  </si>
  <si>
    <t xml:space="preserve">Lost</t>
  </si>
  <si>
    <t xml:space="preserve">Went with competitor — price</t>
  </si>
  <si>
    <t xml:space="preserve">PIPELINE SUMMARY</t>
  </si>
  <si>
    <t xml:space="preserve">Count</t>
  </si>
  <si>
    <t xml:space="preserve">Total Value</t>
  </si>
  <si>
    <t xml:space="preserve">% of Total</t>
  </si>
  <si>
    <t xml:space="preserve">TOTALS</t>
  </si>
  <si>
    <t xml:space="preserve">WON vs LOST BREAKDOWN</t>
  </si>
  <si>
    <t xml:space="preserve">Metric</t>
  </si>
  <si>
    <t xml:space="preserve">Difference</t>
  </si>
  <si>
    <t xml:space="preserve">Leads</t>
  </si>
  <si>
    <t xml:space="preserve">Avg Deal Size</t>
  </si>
  <si>
    <t xml:space="preserve">Win / Loss 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</si>
</sst>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2"/>
      <color rgb="FFDC26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BEAFE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FDE68A"/>
        <bgColor rgb="FFFEE2E2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DE68A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10" min="9" style="1" width="13"/>
    <col collapsed="false" customWidth="true" hidden="false" outlineLevel="0" max="11" min="11" style="1" width="35"/>
  </cols>
  <sheetData>
    <row r="1" customFormat="false" ht="30" hidden="false" customHeight="true" outlineLevel="0" collapsed="false">
      <c r="A1" s="2" t="s">
        <v>0</v>
      </c>
    </row>
    <row r="2" customFormat="false" ht="19.5" hidden="false" customHeight="true" outlineLevel="0" collapsed="false">
      <c r="A2" s="3" t="s">
        <v>1</v>
      </c>
    </row>
    <row r="4" customFormat="false" ht="24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n">
        <v>1001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6" t="n">
        <v>350</v>
      </c>
      <c r="I5" s="7" t="s">
        <v>19</v>
      </c>
      <c r="J5" s="5"/>
      <c r="K5" s="5" t="s">
        <v>20</v>
      </c>
    </row>
    <row r="6" customFormat="false" ht="15" hidden="false" customHeight="true" outlineLevel="0" collapsed="false">
      <c r="A6" s="8" t="n">
        <v>1002</v>
      </c>
      <c r="B6" s="8" t="s">
        <v>13</v>
      </c>
      <c r="C6" s="8" t="s">
        <v>21</v>
      </c>
      <c r="D6" s="8" t="s">
        <v>22</v>
      </c>
      <c r="E6" s="8" t="s">
        <v>23</v>
      </c>
      <c r="F6" s="8" t="s">
        <v>17</v>
      </c>
      <c r="G6" s="8" t="s">
        <v>24</v>
      </c>
      <c r="H6" s="9" t="n">
        <v>385</v>
      </c>
      <c r="I6" s="10" t="s">
        <v>25</v>
      </c>
      <c r="J6" s="8" t="s">
        <v>13</v>
      </c>
      <c r="K6" s="8" t="s">
        <v>26</v>
      </c>
    </row>
    <row r="7" customFormat="false" ht="15" hidden="false" customHeight="true" outlineLevel="0" collapsed="false">
      <c r="A7" s="5" t="n">
        <v>1003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6" t="n">
        <v>540</v>
      </c>
      <c r="I7" s="11" t="s">
        <v>33</v>
      </c>
      <c r="J7" s="5" t="s">
        <v>27</v>
      </c>
      <c r="K7" s="5" t="s">
        <v>34</v>
      </c>
    </row>
    <row r="8" customFormat="false" ht="15" hidden="false" customHeight="true" outlineLevel="0" collapsed="false">
      <c r="A8" s="8" t="n">
        <v>1004</v>
      </c>
      <c r="B8" s="8" t="s">
        <v>35</v>
      </c>
      <c r="C8" s="8" t="s">
        <v>36</v>
      </c>
      <c r="D8" s="8" t="s">
        <v>37</v>
      </c>
      <c r="E8" s="8" t="s">
        <v>38</v>
      </c>
      <c r="F8" s="8" t="s">
        <v>17</v>
      </c>
      <c r="G8" s="8" t="s">
        <v>39</v>
      </c>
      <c r="H8" s="9" t="n">
        <v>450</v>
      </c>
      <c r="I8" s="12" t="s">
        <v>40</v>
      </c>
      <c r="J8" s="8" t="s">
        <v>27</v>
      </c>
      <c r="K8" s="8" t="s">
        <v>41</v>
      </c>
    </row>
    <row r="11" customFormat="false" ht="27.75" hidden="false" customHeight="true" outlineLevel="0" collapsed="false">
      <c r="A11" s="13" t="s">
        <v>42</v>
      </c>
      <c r="B11" s="13"/>
      <c r="C11" s="13"/>
      <c r="D11" s="13"/>
    </row>
    <row r="12" customFormat="false" ht="15" hidden="false" customHeight="true" outlineLevel="0" collapsed="false">
      <c r="A12" s="14" t="s">
        <v>10</v>
      </c>
      <c r="B12" s="14" t="s">
        <v>43</v>
      </c>
      <c r="C12" s="14" t="s">
        <v>44</v>
      </c>
      <c r="D12" s="14" t="s">
        <v>45</v>
      </c>
    </row>
    <row r="13" customFormat="false" ht="15" hidden="false" customHeight="true" outlineLevel="0" collapsed="false">
      <c r="A13" s="15" t="s">
        <v>19</v>
      </c>
      <c r="B13" s="16" t="n">
        <f aca="false">COUNTIF(I5:I200,"New Lead")</f>
        <v>1</v>
      </c>
      <c r="C13" s="17" t="n">
        <f aca="false">SUMPRODUCT((I5:I200="New Lead")*(H5:H200))</f>
        <v>350</v>
      </c>
      <c r="D13" s="18" t="n">
        <f aca="false">IF(B17&gt;0,B13/B17,0)</f>
        <v>0.25</v>
      </c>
    </row>
    <row r="14" customFormat="false" ht="15" hidden="false" customHeight="true" outlineLevel="0" collapsed="false">
      <c r="A14" s="19" t="s">
        <v>25</v>
      </c>
      <c r="B14" s="16" t="n">
        <f aca="false">COUNTIF(I5:I200,"Contacted")</f>
        <v>1</v>
      </c>
      <c r="C14" s="17" t="n">
        <f aca="false">SUMPRODUCT((I5:I200="Contacted")*(H5:H200))</f>
        <v>385</v>
      </c>
      <c r="D14" s="18" t="n">
        <f aca="false">IF(B17&gt;0,B14/B17,0)</f>
        <v>0.25</v>
      </c>
    </row>
    <row r="15" customFormat="false" ht="15" hidden="false" customHeight="true" outlineLevel="0" collapsed="false">
      <c r="A15" s="20" t="s">
        <v>33</v>
      </c>
      <c r="B15" s="16" t="n">
        <f aca="false">COUNTIF(I5:I200,"Won")</f>
        <v>1</v>
      </c>
      <c r="C15" s="17" t="n">
        <f aca="false">SUMPRODUCT((I5:I200="Won")*(H5:H200))</f>
        <v>540</v>
      </c>
      <c r="D15" s="18" t="n">
        <f aca="false">IF(B17&gt;0,B15/B17,0)</f>
        <v>0.25</v>
      </c>
    </row>
    <row r="16" customFormat="false" ht="15" hidden="false" customHeight="true" outlineLevel="0" collapsed="false">
      <c r="A16" s="21" t="s">
        <v>40</v>
      </c>
      <c r="B16" s="16" t="n">
        <f aca="false">COUNTIF(I5:I200,"Lost")</f>
        <v>1</v>
      </c>
      <c r="C16" s="17" t="n">
        <f aca="false">SUMPRODUCT((I5:I200="Lost")*(H5:H200))</f>
        <v>450</v>
      </c>
      <c r="D16" s="18" t="n">
        <f aca="false">IF(B17&gt;0,B16/B17,0)</f>
        <v>0.25</v>
      </c>
    </row>
    <row r="17" customFormat="false" ht="15" hidden="false" customHeight="true" outlineLevel="0" collapsed="false">
      <c r="A17" s="22" t="s">
        <v>46</v>
      </c>
      <c r="B17" s="23" t="n">
        <f aca="false">SUM(B13:B16)</f>
        <v>4</v>
      </c>
      <c r="C17" s="24" t="n">
        <f aca="false">SUM(C13:C16)</f>
        <v>1725</v>
      </c>
      <c r="D17" s="25"/>
    </row>
    <row r="18" customFormat="false" ht="15" hidden="false" customHeight="true" outlineLevel="0" collapsed="false">
      <c r="A18" s="26"/>
      <c r="B18" s="27"/>
      <c r="C18" s="28"/>
      <c r="D18" s="28"/>
    </row>
    <row r="19" customFormat="false" ht="27.75" hidden="false" customHeight="true" outlineLevel="0" collapsed="false">
      <c r="A19" s="13" t="s">
        <v>47</v>
      </c>
      <c r="B19" s="13"/>
      <c r="C19" s="13"/>
      <c r="D19" s="13"/>
    </row>
    <row r="20" customFormat="false" ht="15" hidden="false" customHeight="false" outlineLevel="0" collapsed="false">
      <c r="A20" s="14" t="s">
        <v>48</v>
      </c>
      <c r="B20" s="14" t="s">
        <v>33</v>
      </c>
      <c r="C20" s="14" t="s">
        <v>40</v>
      </c>
      <c r="D20" s="14" t="s">
        <v>49</v>
      </c>
    </row>
    <row r="21" customFormat="false" ht="15" hidden="false" customHeight="false" outlineLevel="0" collapsed="false">
      <c r="A21" s="25" t="s">
        <v>50</v>
      </c>
      <c r="B21" s="29" t="n">
        <f aca="false">B15</f>
        <v>1</v>
      </c>
      <c r="C21" s="30" t="n">
        <f aca="false">B16</f>
        <v>1</v>
      </c>
      <c r="D21" s="23" t="n">
        <f aca="false">B21-C21</f>
        <v>0</v>
      </c>
    </row>
    <row r="22" customFormat="false" ht="15" hidden="false" customHeight="false" outlineLevel="0" collapsed="false">
      <c r="A22" s="25" t="s">
        <v>44</v>
      </c>
      <c r="B22" s="31" t="n">
        <f aca="false">C15</f>
        <v>540</v>
      </c>
      <c r="C22" s="32" t="n">
        <f aca="false">C16</f>
        <v>450</v>
      </c>
      <c r="D22" s="33" t="n">
        <f aca="false">B22-C22</f>
        <v>90</v>
      </c>
    </row>
    <row r="23" customFormat="false" ht="15" hidden="false" customHeight="false" outlineLevel="0" collapsed="false">
      <c r="A23" s="25" t="s">
        <v>51</v>
      </c>
      <c r="B23" s="31" t="n">
        <f aca="false">IF(B21&gt;0,B22/B21,0)</f>
        <v>540</v>
      </c>
      <c r="C23" s="32" t="n">
        <f aca="false">IF(C21&gt;0,C22/C21,0)</f>
        <v>450</v>
      </c>
      <c r="D23" s="33" t="n">
        <f aca="false">B23-C23</f>
        <v>90</v>
      </c>
    </row>
    <row r="24" customFormat="false" ht="15" hidden="false" customHeight="false" outlineLevel="0" collapsed="false">
      <c r="A24" s="25" t="s">
        <v>52</v>
      </c>
      <c r="B24" s="34" t="n">
        <f aca="false">IF((B21+C21)&gt;0,B21/(B21+C21),0)</f>
        <v>0.5</v>
      </c>
      <c r="C24" s="35" t="n">
        <f aca="false">IF((B21+C21)&gt;0,C21/(B21+C21),0)</f>
        <v>0.5</v>
      </c>
      <c r="D24" s="36"/>
    </row>
  </sheetData>
  <autoFilter ref="A4:K200"/>
  <mergeCells count="2">
    <mergeCell ref="A11:D11"/>
    <mergeCell ref="A19:D19"/>
  </mergeCells>
  <dataValidations count="1">
    <dataValidation allowBlank="true" error="Pick a status: New Lead, Contacted, Won, or Lost" errorStyle="stop" errorTitle="Invalid Status" operator="between" showDropDown="false" showErrorMessage="false" showInputMessage="false" sqref="I5:I200" type="list">
      <formula1>"New Lead,Contacted,Won,Lost"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2026-03-28T21:52:45Z</dcterms:created>
  <dc:creator>openpyxl</dc:creator>
  <dc:description/>
  <dc:language>en-US</dc:language>
  <cp:lastModifiedBy/>
  <dcterms:modified xsi:type="dcterms:W3CDTF">2026-03-28T22:07:16Z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