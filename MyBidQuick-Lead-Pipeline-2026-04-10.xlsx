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</sheets>
  <definedNames>
    <definedName name="_xlnm._FilterDatabase" localSheetId="0" hidden="1">'Lead Pipeline'!$A$4:$K$12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3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164" fontId="4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8" customWidth="1" min="4" max="4"/>
    <col width="14" customWidth="1" min="5" max="5"/>
    <col width="26" customWidth="1" min="6" max="6"/>
    <col width="42" customWidth="1" min="7" max="7"/>
    <col width="12" customWidth="1" min="8" max="8"/>
    <col width="12" customWidth="1" min="9" max="9"/>
    <col width="14" customWidth="1" min="10" max="10"/>
    <col width="25" customWidth="1" min="11" max="11"/>
  </cols>
  <sheetData>
    <row r="1">
      <c r="A1" s="1" t="inlineStr">
        <is>
          <t>MyBidQuick Lead Pipeline</t>
        </is>
      </c>
    </row>
    <row r="2">
      <c r="A2" s="2" t="inlineStr">
        <is>
          <t>Auto-synced from Supabase — April 10, 2026</t>
        </is>
      </c>
    </row>
    <row r="4">
      <c r="A4" s="3" t="inlineStr">
        <is>
          <t>Lead #</t>
        </is>
      </c>
      <c r="B4" s="3" t="inlineStr">
        <is>
          <t>Date</t>
        </is>
      </c>
      <c r="C4" s="3" t="inlineStr">
        <is>
          <t>Name</t>
        </is>
      </c>
      <c r="D4" s="3" t="inlineStr">
        <is>
          <t>Email</t>
        </is>
      </c>
      <c r="E4" s="3" t="inlineStr">
        <is>
          <t>Phone</t>
        </is>
      </c>
      <c r="F4" s="3" t="inlineStr">
        <is>
          <t>Tenant</t>
        </is>
      </c>
      <c r="G4" s="3" t="inlineStr">
        <is>
          <t>Service Requested</t>
        </is>
      </c>
      <c r="H4" s="3" t="inlineStr">
        <is>
          <t>Quote $</t>
        </is>
      </c>
      <c r="I4" s="3" t="inlineStr">
        <is>
          <t>Status</t>
        </is>
      </c>
      <c r="J4" s="3" t="inlineStr">
        <is>
          <t>Last Contact</t>
        </is>
      </c>
      <c r="K4" s="3" t="inlineStr">
        <is>
          <t>Notes</t>
        </is>
      </c>
    </row>
    <row r="5">
      <c r="A5" s="4" t="n">
        <v>1</v>
      </c>
      <c r="B5" s="4" t="inlineStr">
        <is>
          <t>2026-04-08</t>
        </is>
      </c>
      <c r="C5" s="4" t="inlineStr">
        <is>
          <t>Tim Sullivan</t>
        </is>
      </c>
      <c r="D5" s="4" t="inlineStr">
        <is>
          <t>s.p.partyof7@gmail.com</t>
        </is>
      </c>
      <c r="E5" s="4" t="inlineStr">
        <is>
          <t>9207236822</t>
        </is>
      </c>
      <c r="F5" s="4" t="inlineStr">
        <is>
          <t>Cloute Exterior Cleaning</t>
        </is>
      </c>
      <c r="G5" s="4" t="inlineStr">
        <is>
          <t>Pressure Washing + Window Cleaning</t>
        </is>
      </c>
      <c r="H5" s="5" t="n">
        <v>969</v>
      </c>
      <c r="I5" s="6" t="inlineStr">
        <is>
          <t>New Lead</t>
        </is>
      </c>
      <c r="J5" s="4" t="inlineStr"/>
      <c r="K5" s="4" t="inlineStr">
        <is>
          <t>test</t>
        </is>
      </c>
    </row>
    <row r="6">
      <c r="A6" s="7" t="n">
        <v>2</v>
      </c>
      <c r="B6" s="7" t="inlineStr">
        <is>
          <t>2026-04-07</t>
        </is>
      </c>
      <c r="C6" s="7" t="inlineStr">
        <is>
          <t>Test User</t>
        </is>
      </c>
      <c r="D6" s="7" t="inlineStr">
        <is>
          <t>test@test.com</t>
        </is>
      </c>
      <c r="E6" s="7" t="inlineStr">
        <is>
          <t>5551234567</t>
        </is>
      </c>
      <c r="F6" s="7" t="inlineStr">
        <is>
          <t>Cloute Exterior Cleaning</t>
        </is>
      </c>
      <c r="G6" s="7" t="inlineStr">
        <is>
          <t>Pressure Washing + Window Cleaning</t>
        </is>
      </c>
      <c r="H6" s="8" t="n">
        <v>673</v>
      </c>
      <c r="I6" s="6" t="inlineStr">
        <is>
          <t>New Lead</t>
        </is>
      </c>
      <c r="J6" s="7" t="inlineStr"/>
      <c r="K6" s="7" t="inlineStr"/>
    </row>
    <row r="7">
      <c r="A7" s="4" t="n">
        <v>3</v>
      </c>
      <c r="B7" s="4" t="inlineStr">
        <is>
          <t>2026-04-06</t>
        </is>
      </c>
      <c r="C7" s="4" t="inlineStr">
        <is>
          <t>test rls</t>
        </is>
      </c>
      <c r="D7" s="4" t="inlineStr">
        <is>
          <t>testrls@example.com</t>
        </is>
      </c>
      <c r="E7" s="4" t="inlineStr">
        <is>
          <t>6085550199</t>
        </is>
      </c>
      <c r="F7" s="4" t="inlineStr">
        <is>
          <t>Cloute Exterior Cleaning</t>
        </is>
      </c>
      <c r="G7" s="4" t="inlineStr">
        <is>
          <t>Pressure Washing</t>
        </is>
      </c>
      <c r="H7" s="5" t="n">
        <v>552</v>
      </c>
      <c r="I7" s="9" t="inlineStr">
        <is>
          <t>Won</t>
        </is>
      </c>
      <c r="J7" s="4" t="inlineStr"/>
      <c r="K7" s="4" t="inlineStr"/>
    </row>
    <row r="8">
      <c r="A8" s="7" t="n">
        <v>4</v>
      </c>
      <c r="B8" s="7" t="inlineStr">
        <is>
          <t>2026-04-03</t>
        </is>
      </c>
      <c r="C8" s="7" t="inlineStr">
        <is>
          <t>Eliott D Cloute</t>
        </is>
      </c>
      <c r="D8" s="7" t="inlineStr">
        <is>
          <t>eli.cloute@clouteinc.com</t>
        </is>
      </c>
      <c r="E8" s="7" t="inlineStr">
        <is>
          <t>9207231939</t>
        </is>
      </c>
      <c r="F8" s="7" t="inlineStr">
        <is>
          <t>Cloute Exterior Cleaning</t>
        </is>
      </c>
      <c r="G8" s="7" t="inlineStr">
        <is>
          <t>Window Cleaning</t>
        </is>
      </c>
      <c r="H8" s="8" t="n">
        <v>541</v>
      </c>
      <c r="I8" s="6" t="inlineStr">
        <is>
          <t>New Lead</t>
        </is>
      </c>
      <c r="J8" s="7" t="inlineStr"/>
      <c r="K8" s="7" t="inlineStr"/>
    </row>
    <row r="9">
      <c r="A9" s="4" t="n">
        <v>5</v>
      </c>
      <c r="B9" s="4" t="inlineStr">
        <is>
          <t>2026-04-03</t>
        </is>
      </c>
      <c r="C9" s="4" t="inlineStr">
        <is>
          <t>Tim Sullivan</t>
        </is>
      </c>
      <c r="D9" s="4" t="inlineStr">
        <is>
          <t>s.p.partyof7@gmail.com</t>
        </is>
      </c>
      <c r="E9" s="4" t="inlineStr">
        <is>
          <t>9207236822</t>
        </is>
      </c>
      <c r="F9" s="4" t="inlineStr">
        <is>
          <t>Cloute Exterior Cleaning</t>
        </is>
      </c>
      <c r="G9" s="4" t="inlineStr">
        <is>
          <t>Pressure Washing + Window Cleaning + Gutter Cleaning</t>
        </is>
      </c>
      <c r="H9" s="5" t="n">
        <v>1189</v>
      </c>
      <c r="I9" s="6" t="inlineStr">
        <is>
          <t>New Lead</t>
        </is>
      </c>
      <c r="J9" s="4" t="inlineStr"/>
      <c r="K9" s="4" t="inlineStr">
        <is>
          <t>we are the champions</t>
        </is>
      </c>
    </row>
    <row r="10">
      <c r="A10" s="7" t="n">
        <v>6</v>
      </c>
      <c r="B10" s="7" t="inlineStr">
        <is>
          <t>2026-04-03</t>
        </is>
      </c>
      <c r="C10" s="7" t="inlineStr">
        <is>
          <t>Tim Sullivan</t>
        </is>
      </c>
      <c r="D10" s="7" t="inlineStr">
        <is>
          <t>tim.sullivan@clouteinc.com</t>
        </is>
      </c>
      <c r="E10" s="7" t="inlineStr">
        <is>
          <t>9205634101</t>
        </is>
      </c>
      <c r="F10" s="7" t="inlineStr">
        <is>
          <t>Cloute Exterior Cleaning</t>
        </is>
      </c>
      <c r="G10" s="7" t="inlineStr">
        <is>
          <t>Pressure Washing + Window Cleaning</t>
        </is>
      </c>
      <c r="H10" s="8" t="n">
        <v>933.46</v>
      </c>
      <c r="I10" s="6" t="inlineStr">
        <is>
          <t>New Lead</t>
        </is>
      </c>
      <c r="J10" s="7" t="inlineStr"/>
      <c r="K10" s="7" t="inlineStr">
        <is>
          <t>testy test for claude</t>
        </is>
      </c>
    </row>
    <row r="11">
      <c r="A11" s="4" t="n">
        <v>7</v>
      </c>
      <c r="B11" s="4" t="inlineStr">
        <is>
          <t>2026-04-03</t>
        </is>
      </c>
      <c r="C11" s="4" t="inlineStr">
        <is>
          <t>Noah Baldry</t>
        </is>
      </c>
      <c r="D11" s="4" t="inlineStr">
        <is>
          <t>noahbaldry34@gmail.com</t>
        </is>
      </c>
      <c r="E11" s="4" t="inlineStr">
        <is>
          <t>9203972318</t>
        </is>
      </c>
      <c r="F11" s="4" t="inlineStr">
        <is>
          <t>Cloute Exterior Cleaning</t>
        </is>
      </c>
      <c r="G11" s="4" t="inlineStr">
        <is>
          <t>Window Cleaning</t>
        </is>
      </c>
      <c r="H11" s="5" t="n">
        <v>1375</v>
      </c>
      <c r="I11" s="6" t="inlineStr">
        <is>
          <t>New Lead</t>
        </is>
      </c>
      <c r="J11" s="4" t="inlineStr"/>
      <c r="K11" s="4" t="inlineStr">
        <is>
          <t>Test with Eli</t>
        </is>
      </c>
    </row>
    <row r="12">
      <c r="A12" s="7" t="n">
        <v>8</v>
      </c>
      <c r="B12" s="7" t="inlineStr">
        <is>
          <t>2026-04-03</t>
        </is>
      </c>
      <c r="C12" s="7" t="inlineStr">
        <is>
          <t>Test Lead - Eli Cloute</t>
        </is>
      </c>
      <c r="D12" s="7" t="inlineStr">
        <is>
          <t>eli.cloute@clouteinc.com</t>
        </is>
      </c>
      <c r="E12" s="7" t="inlineStr">
        <is>
          <t>9207231939</t>
        </is>
      </c>
      <c r="F12" s="7" t="inlineStr">
        <is>
          <t>Cloute Exterior Cleaning</t>
        </is>
      </c>
      <c r="G12" s="7" t="inlineStr">
        <is>
          <t>Window Cleaning</t>
        </is>
      </c>
      <c r="H12" s="8" t="n">
        <v>120</v>
      </c>
      <c r="I12" s="6" t="inlineStr">
        <is>
          <t>New Lead</t>
        </is>
      </c>
      <c r="J12" s="7" t="inlineStr"/>
      <c r="K12" s="7" t="inlineStr"/>
    </row>
    <row r="15">
      <c r="A15" s="10" t="inlineStr">
        <is>
          <t>Pipeline Summary</t>
        </is>
      </c>
    </row>
    <row r="16">
      <c r="A16" s="11" t="inlineStr">
        <is>
          <t>Total Leads:</t>
        </is>
      </c>
      <c r="B16" s="12" t="n">
        <v>8</v>
      </c>
    </row>
    <row r="17">
      <c r="A17" s="11" t="inlineStr">
        <is>
          <t>Total Pipeline Value:</t>
        </is>
      </c>
      <c r="B17" s="13">
        <f>SUM(H5:H12)</f>
        <v/>
      </c>
    </row>
    <row r="18">
      <c r="A18" s="11" t="inlineStr">
        <is>
          <t>New Leads:</t>
        </is>
      </c>
      <c r="B18" s="12">
        <f>COUNTIF(I5:I12,"New Lead")</f>
        <v/>
      </c>
    </row>
    <row r="19">
      <c r="A19" s="11" t="inlineStr">
        <is>
          <t>Won:</t>
        </is>
      </c>
      <c r="B19" s="12">
        <f>COUNTIF(I5:I12,"Won")</f>
        <v/>
      </c>
    </row>
    <row r="20">
      <c r="A20" s="11" t="inlineStr">
        <is>
          <t>Contacted:</t>
        </is>
      </c>
      <c r="B20" s="12">
        <f>COUNTIF(I5:I12,"Contacted")</f>
        <v/>
      </c>
    </row>
    <row r="21">
      <c r="A21" s="11" t="inlineStr">
        <is>
          <t>Lost:</t>
        </is>
      </c>
      <c r="B21" s="12">
        <f>COUNTIF(I5:I12,"Lost")</f>
        <v/>
      </c>
    </row>
  </sheetData>
  <autoFilter ref="A4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2026-04-11T02:06:10Z</dcterms:created>
  <dcterms:modified xmlns:dcterms="http://purl.org/dc/terms/" xmlns:xsi="http://www.w3.org/2001/XMLSchema-instance" xsi:type="dcterms:W3CDTF">2026-04-11T02:06:10Z</dcterms:modified>
</cp:coreProperties>
</file>